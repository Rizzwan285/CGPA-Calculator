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<sst xmlns="http://schemas.openxmlformats.org/spreadsheetml/2006/main" count="269" uniqueCount="77">
  <si>
    <t>SEMESTER GRADE CARDS</t>
  </si>
  <si>
    <t>CUMULATIVE GRADE HISTORY:</t>
  </si>
  <si>
    <t>SEMESTER I</t>
  </si>
  <si>
    <t>Semester</t>
  </si>
  <si>
    <t>Semester I</t>
  </si>
  <si>
    <t>Semester II</t>
  </si>
  <si>
    <t>Semester III</t>
  </si>
  <si>
    <t>Semester IV</t>
  </si>
  <si>
    <t>Total Credits</t>
  </si>
  <si>
    <t>Course Name</t>
  </si>
  <si>
    <t>Category</t>
  </si>
  <si>
    <t>Credits</t>
  </si>
  <si>
    <t>Course Grade</t>
  </si>
  <si>
    <t>Points</t>
  </si>
  <si>
    <t>Earned Credits</t>
  </si>
  <si>
    <t>Chem Lab</t>
  </si>
  <si>
    <t>IC</t>
  </si>
  <si>
    <t>A</t>
  </si>
  <si>
    <t>SGPA</t>
  </si>
  <si>
    <t>Mech Workshop</t>
  </si>
  <si>
    <t>CGPA</t>
  </si>
  <si>
    <t>Intro To DS</t>
  </si>
  <si>
    <t>PMC</t>
  </si>
  <si>
    <t>Physics</t>
  </si>
  <si>
    <t>Semester V</t>
  </si>
  <si>
    <t>Semester VI</t>
  </si>
  <si>
    <t>Semester VII</t>
  </si>
  <si>
    <t>Semester VIII</t>
  </si>
  <si>
    <t>Ecology</t>
  </si>
  <si>
    <t>Linear Algebra</t>
  </si>
  <si>
    <t>Eng Drawing</t>
  </si>
  <si>
    <t>Eng Design</t>
  </si>
  <si>
    <t>CATEGORY TABLE:</t>
  </si>
  <si>
    <t>SEMESTER II</t>
  </si>
  <si>
    <t>Need to Complete</t>
  </si>
  <si>
    <t>Phy Lab</t>
  </si>
  <si>
    <t>PME</t>
  </si>
  <si>
    <t>Eng Mechanics</t>
  </si>
  <si>
    <t>HSE</t>
  </si>
  <si>
    <t>Chemistry Theory</t>
  </si>
  <si>
    <t>SME</t>
  </si>
  <si>
    <t>Intro to Programming</t>
  </si>
  <si>
    <t>OE</t>
  </si>
  <si>
    <t>Multivariable Calculus</t>
  </si>
  <si>
    <t>PC</t>
  </si>
  <si>
    <t>Tech &amp; Society</t>
  </si>
  <si>
    <t>Electrical Workshop</t>
  </si>
  <si>
    <t>To Complete</t>
  </si>
  <si>
    <t>SEMESTER III</t>
  </si>
  <si>
    <t>DSA</t>
  </si>
  <si>
    <t>Discrete Maths</t>
  </si>
  <si>
    <t>Intro to Optimization</t>
  </si>
  <si>
    <t>Differential Eqns</t>
  </si>
  <si>
    <t>Media, Identity &amp; Self</t>
  </si>
  <si>
    <t>Life Sciences</t>
  </si>
  <si>
    <t>SEMESTER IV</t>
  </si>
  <si>
    <t>Intro to AI</t>
  </si>
  <si>
    <t>Public Policy</t>
  </si>
  <si>
    <t>Comp Systems</t>
  </si>
  <si>
    <t>Prob &amp; Stats</t>
  </si>
  <si>
    <t>Database Systems</t>
  </si>
  <si>
    <t>OELP</t>
  </si>
  <si>
    <t>SEMESTER V</t>
  </si>
  <si>
    <t>Data Analytics</t>
  </si>
  <si>
    <t>Intro to ML</t>
  </si>
  <si>
    <t>Systems Programming</t>
  </si>
  <si>
    <t>Culture &amp; Gender</t>
  </si>
  <si>
    <t>Cloud Computing (NPTEL)</t>
  </si>
  <si>
    <t>P</t>
  </si>
  <si>
    <t>Contemporary India</t>
  </si>
  <si>
    <t>SEMESTER VI</t>
  </si>
  <si>
    <t>Deep Learning</t>
  </si>
  <si>
    <t>AI Ethics</t>
  </si>
  <si>
    <t>..</t>
  </si>
  <si>
    <t>Additional</t>
  </si>
  <si>
    <t>SEMESTER VII</t>
  </si>
  <si>
    <t>SEMESTER VIII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</si>
</sst>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sz val="13.0"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sz val="10.0"/>
      <color rgb="FFFFFFFF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6AA84F"/>
        <bgColor rgb="FF6AA84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1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/>
    </xf>
    <xf borderId="2" fillId="3" fontId="5" numFmtId="0" xfId="0" applyAlignment="1" applyBorder="1" applyFont="1">
      <alignment horizontal="center" readingOrder="0"/>
    </xf>
    <xf borderId="2" fillId="4" fontId="3" numFmtId="0" xfId="0" applyAlignment="1" applyBorder="1" applyFill="1" applyFont="1">
      <alignment horizontal="center" readingOrder="0"/>
    </xf>
    <xf borderId="2" fillId="5" fontId="4" numFmtId="0" xfId="0" applyAlignment="1" applyBorder="1" applyFill="1" applyFont="1">
      <alignment horizontal="center" readingOrder="0"/>
    </xf>
    <xf borderId="2" fillId="5" fontId="5" numFmtId="0" xfId="0" applyAlignment="1" applyBorder="1" applyFont="1">
      <alignment horizontal="center"/>
    </xf>
    <xf borderId="3" fillId="6" fontId="5" numFmtId="0" xfId="0" applyAlignment="1" applyBorder="1" applyFill="1" applyFont="1">
      <alignment horizontal="center" readingOrder="0"/>
    </xf>
    <xf borderId="3" fillId="7" fontId="5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/>
    </xf>
    <xf borderId="2" fillId="2" fontId="3" numFmtId="0" xfId="0" applyAlignment="1" applyBorder="1" applyFont="1">
      <alignment horizontal="center" readingOrder="0"/>
    </xf>
    <xf borderId="4" fillId="7" fontId="5" numFmtId="0" xfId="0" applyAlignment="1" applyBorder="1" applyFont="1">
      <alignment horizontal="center" readingOrder="0"/>
    </xf>
    <xf borderId="2" fillId="7" fontId="4" numFmtId="0" xfId="0" applyAlignment="1" applyBorder="1" applyFont="1">
      <alignment horizontal="center" readingOrder="0"/>
    </xf>
    <xf borderId="2" fillId="7" fontId="5" numFmtId="0" xfId="0" applyBorder="1" applyFont="1"/>
    <xf borderId="5" fillId="2" fontId="3" numFmtId="0" xfId="0" applyAlignment="1" applyBorder="1" applyFont="1">
      <alignment horizontal="center" readingOrder="0"/>
    </xf>
    <xf borderId="6" fillId="0" fontId="6" numFmtId="0" xfId="0" applyBorder="1" applyFont="1"/>
    <xf borderId="2" fillId="2" fontId="7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readingOrder="0"/>
    </xf>
    <xf borderId="5" fillId="5" fontId="4" numFmtId="0" xfId="0" applyAlignment="1" applyBorder="1" applyFont="1">
      <alignment horizontal="center" readingOrder="0"/>
    </xf>
    <xf borderId="2" fillId="5" fontId="5" numFmtId="0" xfId="0" applyAlignment="1" applyBorder="1" applyFont="1">
      <alignment horizontal="center" readingOrder="0"/>
    </xf>
    <xf borderId="4" fillId="6" fontId="5" numFmtId="0" xfId="0" applyAlignment="1" applyBorder="1" applyFont="1">
      <alignment horizontal="center" readingOrder="0"/>
    </xf>
    <xf borderId="2" fillId="5" fontId="5" numFmtId="0" xfId="0" applyBorder="1" applyFont="1"/>
    <xf borderId="0" fillId="0" fontId="5" numFmtId="0" xfId="0" applyAlignment="1" applyFont="1">
      <alignment readingOrder="0"/>
    </xf>
    <xf borderId="3" fillId="7" fontId="8" numFmtId="0" xfId="0" applyAlignment="1" applyBorder="1" applyFont="1">
      <alignment horizontal="center" readingOrder="0" vertical="bottom"/>
    </xf>
    <xf borderId="3" fillId="6" fontId="8" numFmtId="0" xfId="0" applyAlignment="1" applyBorder="1" applyFont="1">
      <alignment horizontal="center" readingOrder="0" vertical="bottom"/>
    </xf>
    <xf borderId="7" fillId="7" fontId="8" numFmtId="0" xfId="0" applyAlignment="1" applyBorder="1" applyFont="1">
      <alignment horizontal="center" vertical="bottom"/>
    </xf>
    <xf borderId="7" fillId="7" fontId="8" numFmtId="0" xfId="0" applyAlignment="1" applyBorder="1" applyFont="1">
      <alignment horizontal="center" readingOrder="0" vertical="bottom"/>
    </xf>
    <xf borderId="8" fillId="6" fontId="5" numFmtId="0" xfId="0" applyAlignment="1" applyBorder="1" applyFont="1">
      <alignment horizontal="center" readingOrder="0"/>
    </xf>
    <xf borderId="9" fillId="6" fontId="5" numFmtId="0" xfId="0" applyAlignment="1" applyBorder="1" applyFont="1">
      <alignment horizontal="center" readingOrder="0"/>
    </xf>
    <xf borderId="8" fillId="7" fontId="5" numFmtId="0" xfId="0" applyAlignment="1" applyBorder="1" applyFont="1">
      <alignment horizontal="center" readingOrder="0"/>
    </xf>
    <xf borderId="9" fillId="7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4" width="11.38"/>
    <col customWidth="1" min="5" max="6" width="12.13"/>
    <col customWidth="1" min="8" max="8" width="19.5"/>
    <col customWidth="1" min="9" max="9" width="13.88"/>
    <col customWidth="1" min="10" max="10" width="14.5"/>
    <col customWidth="1" min="11" max="11" width="15.0"/>
    <col customWidth="1" min="12" max="12" width="14.88"/>
  </cols>
  <sheetData>
    <row r="1">
      <c r="A1" s="1" t="s">
        <v>0</v>
      </c>
      <c r="H1" s="1" t="s">
        <v>1</v>
      </c>
    </row>
    <row r="5">
      <c r="B5" s="2" t="s">
        <v>2</v>
      </c>
      <c r="H5" s="3" t="s">
        <v>3</v>
      </c>
      <c r="I5" s="3" t="s">
        <v>4</v>
      </c>
      <c r="J5" s="3" t="s">
        <v>5</v>
      </c>
      <c r="K5" s="3" t="s">
        <v>6</v>
      </c>
      <c r="L5" s="3" t="s">
        <v>7</v>
      </c>
    </row>
    <row r="6">
      <c r="H6" s="4" t="s">
        <v>8</v>
      </c>
      <c r="I6" s="5">
        <f>F17</f>
        <v>20</v>
      </c>
      <c r="J6" s="6">
        <f>F33</f>
        <v>21</v>
      </c>
      <c r="K6" s="5">
        <f>F47</f>
        <v>20</v>
      </c>
      <c r="L6" s="5">
        <f>F61</f>
        <v>23</v>
      </c>
    </row>
    <row r="7">
      <c r="B7" s="7" t="s">
        <v>9</v>
      </c>
      <c r="C7" s="7" t="s">
        <v>10</v>
      </c>
      <c r="D7" s="7" t="s">
        <v>11</v>
      </c>
      <c r="E7" s="7" t="s">
        <v>12</v>
      </c>
      <c r="F7" s="7" t="s">
        <v>13</v>
      </c>
      <c r="H7" s="8" t="s">
        <v>14</v>
      </c>
      <c r="I7" s="9">
        <f>SUM(I6)
</f>
        <v>20</v>
      </c>
      <c r="J7" s="9">
        <f>SUM(I6:J6)
</f>
        <v>41</v>
      </c>
      <c r="K7" s="9">
        <f>SUM(I6:K6)
</f>
        <v>61</v>
      </c>
      <c r="L7" s="9">
        <f>SUM(I6:L6)
</f>
        <v>84</v>
      </c>
    </row>
    <row r="8">
      <c r="B8" s="10" t="s">
        <v>15</v>
      </c>
      <c r="C8" s="10" t="s">
        <v>16</v>
      </c>
      <c r="D8" s="10">
        <v>2.0</v>
      </c>
      <c r="E8" s="10" t="s">
        <v>17</v>
      </c>
      <c r="F8" s="10">
        <f t="shared" ref="F8:F15" si="1">SWITCH(E8,
 "S",10,
 "A",9,
 "B",8,
 "C",7,
 "D",6,
 "E",4,
 "U",0,
 "W",0,
 "I",0,
 "Y",0,
 "N",0,
 "P",0,
 "F",0)
</f>
        <v>9</v>
      </c>
      <c r="H8" s="4" t="s">
        <v>18</v>
      </c>
      <c r="I8" s="5">
        <f>F18</f>
        <v>9</v>
      </c>
      <c r="J8" s="5">
        <f>F34</f>
        <v>9</v>
      </c>
      <c r="K8" s="5">
        <f>F48</f>
        <v>9</v>
      </c>
      <c r="L8" s="5">
        <f>F62</f>
        <v>9</v>
      </c>
    </row>
    <row r="9">
      <c r="B9" s="11" t="s">
        <v>19</v>
      </c>
      <c r="C9" s="11" t="s">
        <v>16</v>
      </c>
      <c r="D9" s="11">
        <v>2.0</v>
      </c>
      <c r="E9" s="11" t="s">
        <v>17</v>
      </c>
      <c r="F9" s="11">
        <f t="shared" si="1"/>
        <v>9</v>
      </c>
      <c r="H9" s="8" t="s">
        <v>20</v>
      </c>
      <c r="I9" s="9">
        <f>I8</f>
        <v>9</v>
      </c>
      <c r="J9" s="9">
        <f>ROUND(SUMPRODUCT(I6:J6, I8:J8)/SUM(I6:J6), 2)
</f>
        <v>9</v>
      </c>
      <c r="K9" s="9">
        <f>ROUND(SUMPRODUCT(I6:K6, I8:K8)/SUM(I6:K6), 2)
</f>
        <v>9</v>
      </c>
      <c r="L9" s="9">
        <f>ROUND(SUMPRODUCT(I6:L6, I8:L8)/SUM(I6:L6), 2)
</f>
        <v>9</v>
      </c>
    </row>
    <row r="10">
      <c r="B10" s="10" t="s">
        <v>21</v>
      </c>
      <c r="C10" s="10" t="s">
        <v>22</v>
      </c>
      <c r="D10" s="10">
        <v>1.0</v>
      </c>
      <c r="E10" s="10" t="s">
        <v>17</v>
      </c>
      <c r="F10" s="10">
        <f t="shared" si="1"/>
        <v>9</v>
      </c>
      <c r="H10" s="12"/>
      <c r="I10" s="12"/>
      <c r="J10" s="12"/>
      <c r="K10" s="12"/>
      <c r="L10" s="12"/>
    </row>
    <row r="11">
      <c r="B11" s="11" t="s">
        <v>23</v>
      </c>
      <c r="C11" s="11" t="s">
        <v>16</v>
      </c>
      <c r="D11" s="11">
        <v>3.0</v>
      </c>
      <c r="E11" s="11" t="s">
        <v>17</v>
      </c>
      <c r="F11" s="11">
        <f t="shared" si="1"/>
        <v>9</v>
      </c>
      <c r="H11" s="13" t="s">
        <v>3</v>
      </c>
      <c r="I11" s="13" t="s">
        <v>24</v>
      </c>
      <c r="J11" s="13" t="s">
        <v>25</v>
      </c>
      <c r="K11" s="13" t="s">
        <v>26</v>
      </c>
      <c r="L11" s="13" t="s">
        <v>27</v>
      </c>
    </row>
    <row r="12">
      <c r="B12" s="10" t="s">
        <v>28</v>
      </c>
      <c r="C12" s="10" t="s">
        <v>16</v>
      </c>
      <c r="D12" s="10">
        <v>2.0</v>
      </c>
      <c r="E12" s="10" t="s">
        <v>17</v>
      </c>
      <c r="F12" s="10">
        <f t="shared" si="1"/>
        <v>9</v>
      </c>
      <c r="H12" s="4" t="s">
        <v>8</v>
      </c>
      <c r="I12" s="5">
        <f>F75</f>
        <v>18</v>
      </c>
      <c r="J12" s="5">
        <f>F90</f>
        <v>19</v>
      </c>
      <c r="K12" s="5">
        <f>F106</f>
        <v>18</v>
      </c>
      <c r="L12" s="5">
        <f>F121</f>
        <v>15</v>
      </c>
    </row>
    <row r="13">
      <c r="B13" s="11" t="s">
        <v>29</v>
      </c>
      <c r="C13" s="11" t="s">
        <v>16</v>
      </c>
      <c r="D13" s="11">
        <v>4.0</v>
      </c>
      <c r="E13" s="11" t="s">
        <v>17</v>
      </c>
      <c r="F13" s="11">
        <f t="shared" si="1"/>
        <v>9</v>
      </c>
      <c r="H13" s="8" t="s">
        <v>14</v>
      </c>
      <c r="I13" s="9">
        <f>SUM(I6:L6, I12)</f>
        <v>102</v>
      </c>
      <c r="J13" s="9">
        <f>SUM(I6:L6, I12:J12)</f>
        <v>121</v>
      </c>
      <c r="K13" s="9">
        <f>SUM(I6:L6, I12:K12)</f>
        <v>139</v>
      </c>
      <c r="L13" s="9">
        <f>SUM(I6:L6, I12:L12)</f>
        <v>154</v>
      </c>
    </row>
    <row r="14">
      <c r="B14" s="10" t="s">
        <v>30</v>
      </c>
      <c r="C14" s="10" t="s">
        <v>16</v>
      </c>
      <c r="D14" s="10">
        <v>3.0</v>
      </c>
      <c r="E14" s="10" t="s">
        <v>17</v>
      </c>
      <c r="F14" s="10">
        <f t="shared" si="1"/>
        <v>9</v>
      </c>
      <c r="H14" s="4" t="s">
        <v>18</v>
      </c>
      <c r="I14" s="5">
        <f>F76</f>
        <v>9</v>
      </c>
      <c r="J14" s="5">
        <f>F91</f>
        <v>9</v>
      </c>
      <c r="K14" s="5">
        <f>F107</f>
        <v>9</v>
      </c>
      <c r="L14" s="5">
        <f>F122</f>
        <v>9</v>
      </c>
    </row>
    <row r="15">
      <c r="B15" s="14" t="s">
        <v>31</v>
      </c>
      <c r="C15" s="14" t="s">
        <v>16</v>
      </c>
      <c r="D15" s="14">
        <v>3.0</v>
      </c>
      <c r="E15" s="14" t="s">
        <v>17</v>
      </c>
      <c r="F15" s="14">
        <f t="shared" si="1"/>
        <v>9</v>
      </c>
      <c r="H15" s="8" t="s">
        <v>20</v>
      </c>
      <c r="I15" s="9">
        <f>ROUND((SUMPRODUCT(I6:L6, I8:L8) + I12*I14) / (SUM(I6:L6) + I12), 2)
</f>
        <v>9</v>
      </c>
      <c r="J15" s="9">
        <f>ROUND(
   (SUMPRODUCT(I6:L6, I8:L8) + SUMPRODUCT(I12:J12, I14:J14)) / (SUM(I6:L6, I12:J12)),
   2
)
</f>
        <v>9</v>
      </c>
      <c r="K15" s="9">
        <f>ROUND(
   (SUMPRODUCT(I6:L6, I8:L8) + SUMPRODUCT(I12:K12, I14:K14)) / (SUM(I6:L6, I12:K12)),
   2
)
</f>
        <v>9</v>
      </c>
      <c r="L15" s="9">
        <f>ROUND(
   (SUMPRODUCT(I6:L6, I8:L8) + SUMPRODUCT(I12:L12, I14:L14)) / (SUM(I6:L6, I12:L12)),
   2
)
</f>
        <v>9</v>
      </c>
    </row>
    <row r="17">
      <c r="E17" s="15" t="s">
        <v>8</v>
      </c>
      <c r="F17" s="16">
        <f>IFERROR(__xludf.DUMMYFUNCTION("SUM(FILTER(D8:D15, (E8:E15&lt;&gt;""Y"")*(E8:E15&lt;&gt;""N"")))
"),20.0)</f>
        <v>20</v>
      </c>
    </row>
    <row r="18">
      <c r="E18" s="15" t="s">
        <v>18</v>
      </c>
      <c r="F18" s="16">
        <f>IFERROR(__xludf.DUMMYFUNCTION("ROUND(
SUMPRODUCT(D8:D15, 
   SWITCH(E8:E15,
     ""S"",10,""A"",9,""B"",8,""C"",7,""D"",6,""E"",4,
     ""U"",0,""W"",0,""I"",0,""Y"",0,""N"",0,""P"",0,""F"",0)
) 
/ 
SUM(FILTER(D8:D15, (E8:E15&lt;&gt;""P"")*(E8:E15&lt;&gt;""F"")*(E8:E15&lt;&gt;""Y"")*(E8:E15&lt;&gt;""N"")))
,2"&amp;")"),9.0)</f>
        <v>9</v>
      </c>
      <c r="H18" s="1" t="s">
        <v>32</v>
      </c>
    </row>
    <row r="21">
      <c r="B21" s="2" t="s">
        <v>33</v>
      </c>
      <c r="H21" s="17" t="s">
        <v>10</v>
      </c>
      <c r="I21" s="18"/>
      <c r="J21" s="19" t="s">
        <v>8</v>
      </c>
      <c r="K21" s="19" t="s">
        <v>14</v>
      </c>
      <c r="L21" s="19" t="s">
        <v>34</v>
      </c>
    </row>
    <row r="22">
      <c r="H22" s="20" t="s">
        <v>16</v>
      </c>
      <c r="I22" s="18"/>
      <c r="J22" s="6">
        <v>42.0</v>
      </c>
      <c r="K22" s="5">
        <f t="shared" ref="K22:K28" si="2">SUMIF(C:C, H22, D:D)
</f>
        <v>42</v>
      </c>
      <c r="L22" s="5">
        <f t="shared" ref="L22:L28" si="3">J22-K22</f>
        <v>0</v>
      </c>
    </row>
    <row r="23">
      <c r="B23" s="7" t="s">
        <v>9</v>
      </c>
      <c r="C23" s="7" t="s">
        <v>10</v>
      </c>
      <c r="D23" s="7" t="s">
        <v>11</v>
      </c>
      <c r="E23" s="7" t="s">
        <v>12</v>
      </c>
      <c r="F23" s="7" t="s">
        <v>13</v>
      </c>
      <c r="H23" s="21" t="s">
        <v>22</v>
      </c>
      <c r="I23" s="18"/>
      <c r="J23" s="22">
        <v>43.0</v>
      </c>
      <c r="K23" s="9">
        <f t="shared" si="2"/>
        <v>43</v>
      </c>
      <c r="L23" s="9">
        <f t="shared" si="3"/>
        <v>0</v>
      </c>
    </row>
    <row r="24">
      <c r="B24" s="10" t="s">
        <v>35</v>
      </c>
      <c r="C24" s="10" t="s">
        <v>16</v>
      </c>
      <c r="D24" s="10">
        <v>2.0</v>
      </c>
      <c r="E24" s="10" t="s">
        <v>17</v>
      </c>
      <c r="F24" s="10">
        <f t="shared" ref="F24:F30" si="4">SWITCH(E24,
 "S",10,
 "A",9,
 "B",8,
 "C",7,
 "D",6,
 "E",4,
 "U",0,
 "W",0,
 "I",0,
 "Y",0,
 "N",0,
 "P",0,
 "F",0)
</f>
        <v>9</v>
      </c>
      <c r="H24" s="20" t="s">
        <v>36</v>
      </c>
      <c r="I24" s="18"/>
      <c r="J24" s="6">
        <v>32.0</v>
      </c>
      <c r="K24" s="5">
        <f t="shared" si="2"/>
        <v>30</v>
      </c>
      <c r="L24" s="5">
        <f t="shared" si="3"/>
        <v>2</v>
      </c>
    </row>
    <row r="25">
      <c r="B25" s="11" t="s">
        <v>37</v>
      </c>
      <c r="C25" s="11" t="s">
        <v>16</v>
      </c>
      <c r="D25" s="11">
        <v>4.0</v>
      </c>
      <c r="E25" s="11" t="s">
        <v>17</v>
      </c>
      <c r="F25" s="11">
        <f t="shared" si="4"/>
        <v>9</v>
      </c>
      <c r="H25" s="21" t="s">
        <v>38</v>
      </c>
      <c r="I25" s="18"/>
      <c r="J25" s="22">
        <v>9.0</v>
      </c>
      <c r="K25" s="9">
        <f t="shared" si="2"/>
        <v>9</v>
      </c>
      <c r="L25" s="9">
        <f t="shared" si="3"/>
        <v>0</v>
      </c>
    </row>
    <row r="26">
      <c r="B26" s="10" t="s">
        <v>39</v>
      </c>
      <c r="C26" s="10" t="s">
        <v>16</v>
      </c>
      <c r="D26" s="10">
        <v>3.0</v>
      </c>
      <c r="E26" s="10" t="s">
        <v>17</v>
      </c>
      <c r="F26" s="10">
        <f t="shared" si="4"/>
        <v>9</v>
      </c>
      <c r="H26" s="20" t="s">
        <v>40</v>
      </c>
      <c r="I26" s="18"/>
      <c r="J26" s="6">
        <v>6.0</v>
      </c>
      <c r="K26" s="5">
        <f t="shared" si="2"/>
        <v>6</v>
      </c>
      <c r="L26" s="5">
        <f t="shared" si="3"/>
        <v>0</v>
      </c>
    </row>
    <row r="27">
      <c r="B27" s="11" t="s">
        <v>41</v>
      </c>
      <c r="C27" s="11" t="s">
        <v>16</v>
      </c>
      <c r="D27" s="11">
        <v>4.0</v>
      </c>
      <c r="E27" s="11" t="s">
        <v>17</v>
      </c>
      <c r="F27" s="11">
        <f t="shared" si="4"/>
        <v>9</v>
      </c>
      <c r="H27" s="21" t="s">
        <v>42</v>
      </c>
      <c r="I27" s="18"/>
      <c r="J27" s="22">
        <v>15.0</v>
      </c>
      <c r="K27" s="9">
        <f t="shared" si="2"/>
        <v>15</v>
      </c>
      <c r="L27" s="9">
        <f t="shared" si="3"/>
        <v>0</v>
      </c>
    </row>
    <row r="28">
      <c r="B28" s="10" t="s">
        <v>43</v>
      </c>
      <c r="C28" s="10" t="s">
        <v>16</v>
      </c>
      <c r="D28" s="10">
        <v>4.0</v>
      </c>
      <c r="E28" s="10" t="s">
        <v>17</v>
      </c>
      <c r="F28" s="10">
        <f t="shared" si="4"/>
        <v>9</v>
      </c>
      <c r="H28" s="20" t="s">
        <v>44</v>
      </c>
      <c r="I28" s="18"/>
      <c r="J28" s="6">
        <v>9.0</v>
      </c>
      <c r="K28" s="5">
        <f t="shared" si="2"/>
        <v>9</v>
      </c>
      <c r="L28" s="5">
        <f t="shared" si="3"/>
        <v>0</v>
      </c>
    </row>
    <row r="29">
      <c r="B29" s="11" t="s">
        <v>45</v>
      </c>
      <c r="C29" s="11" t="s">
        <v>16</v>
      </c>
      <c r="D29" s="11">
        <v>2.0</v>
      </c>
      <c r="E29" s="11" t="s">
        <v>17</v>
      </c>
      <c r="F29" s="11">
        <f t="shared" si="4"/>
        <v>9</v>
      </c>
    </row>
    <row r="30">
      <c r="B30" s="23" t="s">
        <v>46</v>
      </c>
      <c r="C30" s="23" t="s">
        <v>16</v>
      </c>
      <c r="D30" s="23">
        <v>2.0</v>
      </c>
      <c r="E30" s="23" t="s">
        <v>17</v>
      </c>
      <c r="F30" s="23">
        <f t="shared" si="4"/>
        <v>9</v>
      </c>
      <c r="K30" s="8" t="s">
        <v>8</v>
      </c>
      <c r="L30" s="24">
        <f>SUM(J22:J28)
</f>
        <v>156</v>
      </c>
    </row>
    <row r="31">
      <c r="K31" s="8" t="s">
        <v>14</v>
      </c>
      <c r="L31" s="24">
        <f>Sum(K22:K28)</f>
        <v>154</v>
      </c>
    </row>
    <row r="32">
      <c r="K32" s="8" t="s">
        <v>47</v>
      </c>
      <c r="L32" s="24">
        <f>SUM(L22:L28)
</f>
        <v>2</v>
      </c>
    </row>
    <row r="33">
      <c r="E33" s="15" t="s">
        <v>8</v>
      </c>
      <c r="F33" s="16">
        <f>IFERROR(__xludf.DUMMYFUNCTION("SUM(FILTER(D24:D30, (E24:E30&lt;&gt;""Y"")*(E24:E30&lt;&gt;""N"")))
"),21.0)</f>
        <v>21</v>
      </c>
    </row>
    <row r="34">
      <c r="E34" s="15" t="s">
        <v>18</v>
      </c>
      <c r="F34" s="16">
        <f>IFERROR(__xludf.DUMMYFUNCTION("ROUND(
SUMPRODUCT(D24:D30, 
   SWITCH(E24:E30,
     ""S"",10,""A"",9,""B"",8,""C"",7,""D"",6,""E"",4,
     ""U"",0,""W"",0,""I"",0,""Y"",0,""N"",0,""P"",0,""F"",0)
) 
/ 
SUM(FILTER(D24:D30, (E24:E30&lt;&gt;""P"")*(E24:E30&lt;&gt;""F"")*(E24:E30&lt;&gt;""Y"")*(E24:E30&lt;&gt;""N"&amp;""")))
,2)"),9.0)</f>
        <v>9</v>
      </c>
    </row>
    <row r="37">
      <c r="B37" s="2" t="s">
        <v>48</v>
      </c>
    </row>
    <row r="39">
      <c r="B39" s="7" t="s">
        <v>9</v>
      </c>
      <c r="C39" s="7" t="s">
        <v>10</v>
      </c>
      <c r="D39" s="7" t="s">
        <v>11</v>
      </c>
      <c r="E39" s="7" t="s">
        <v>12</v>
      </c>
      <c r="F39" s="7" t="s">
        <v>13</v>
      </c>
    </row>
    <row r="40">
      <c r="B40" s="10" t="s">
        <v>49</v>
      </c>
      <c r="C40" s="10" t="s">
        <v>22</v>
      </c>
      <c r="D40" s="10">
        <v>5.0</v>
      </c>
      <c r="E40" s="10" t="s">
        <v>17</v>
      </c>
      <c r="F40" s="10">
        <f t="shared" ref="F40:F45" si="5">SWITCH(E40,
 "S",10,
 "A",9,
 "B",8,
 "C",7,
 "D",6,
 "E",4,
 "U",0,
 "W",0,
 "I",0,
 "Y",0,
 "N",0,
 "P",0,
 "F",0)
</f>
        <v>9</v>
      </c>
    </row>
    <row r="41">
      <c r="B41" s="11" t="s">
        <v>50</v>
      </c>
      <c r="C41" s="11" t="s">
        <v>22</v>
      </c>
      <c r="D41" s="11">
        <v>4.0</v>
      </c>
      <c r="E41" s="11" t="s">
        <v>17</v>
      </c>
      <c r="F41" s="11">
        <f t="shared" si="5"/>
        <v>9</v>
      </c>
    </row>
    <row r="42">
      <c r="B42" s="10" t="s">
        <v>51</v>
      </c>
      <c r="C42" s="10" t="s">
        <v>22</v>
      </c>
      <c r="D42" s="10">
        <v>3.0</v>
      </c>
      <c r="E42" s="10" t="s">
        <v>17</v>
      </c>
      <c r="F42" s="10">
        <f t="shared" si="5"/>
        <v>9</v>
      </c>
    </row>
    <row r="43">
      <c r="B43" s="11" t="s">
        <v>52</v>
      </c>
      <c r="C43" s="11" t="s">
        <v>40</v>
      </c>
      <c r="D43" s="11">
        <v>3.0</v>
      </c>
      <c r="E43" s="11" t="s">
        <v>17</v>
      </c>
      <c r="F43" s="11">
        <f t="shared" si="5"/>
        <v>9</v>
      </c>
    </row>
    <row r="44">
      <c r="B44" s="10" t="s">
        <v>53</v>
      </c>
      <c r="C44" s="10" t="s">
        <v>38</v>
      </c>
      <c r="D44" s="10">
        <v>3.0</v>
      </c>
      <c r="E44" s="10" t="s">
        <v>17</v>
      </c>
      <c r="F44" s="10">
        <f t="shared" si="5"/>
        <v>9</v>
      </c>
    </row>
    <row r="45">
      <c r="B45" s="14" t="s">
        <v>54</v>
      </c>
      <c r="C45" s="14" t="s">
        <v>16</v>
      </c>
      <c r="D45" s="14">
        <v>2.0</v>
      </c>
      <c r="E45" s="14" t="s">
        <v>17</v>
      </c>
      <c r="F45" s="14">
        <f t="shared" si="5"/>
        <v>9</v>
      </c>
    </row>
    <row r="47">
      <c r="E47" s="15" t="s">
        <v>8</v>
      </c>
      <c r="F47" s="16">
        <f>IFERROR(__xludf.DUMMYFUNCTION("SUM(FILTER(D40:D45, (E40:E45&lt;&gt;""Y"")*(E40:E45&lt;&gt;""N"")))
"),20.0)</f>
        <v>20</v>
      </c>
    </row>
    <row r="48">
      <c r="E48" s="15" t="s">
        <v>18</v>
      </c>
      <c r="F48" s="16">
        <f>IFERROR(__xludf.DUMMYFUNCTION("ROUND(
SUMPRODUCT(D40:D45, 
   SWITCH(E40:E45,
     ""S"",10,""A"",9,""B"",8,""C"",7,""D"",6,""E"",4,
     ""U"",0,""W"",0,""I"",0,""Y"",0,""N"",0,""P"",0,""F"",0)
) 
/ 
SUM(FILTER(D40:D45, (E40:E45&lt;&gt;""P"")*(E40:E45&lt;&gt;""F"")*(E40:E45&lt;&gt;""Y"")*(E40:E45&lt;&gt;""N"&amp;""")))
,2)"),9.0)</f>
        <v>9</v>
      </c>
    </row>
    <row r="51">
      <c r="B51" s="2" t="s">
        <v>55</v>
      </c>
    </row>
    <row r="53">
      <c r="B53" s="7" t="s">
        <v>9</v>
      </c>
      <c r="C53" s="7" t="s">
        <v>10</v>
      </c>
      <c r="D53" s="7" t="s">
        <v>11</v>
      </c>
      <c r="E53" s="7" t="s">
        <v>12</v>
      </c>
      <c r="F53" s="7" t="s">
        <v>13</v>
      </c>
    </row>
    <row r="54">
      <c r="B54" s="10" t="s">
        <v>56</v>
      </c>
      <c r="C54" s="10" t="s">
        <v>22</v>
      </c>
      <c r="D54" s="10">
        <v>4.0</v>
      </c>
      <c r="E54" s="10" t="s">
        <v>17</v>
      </c>
      <c r="F54" s="10">
        <f t="shared" ref="F54:F59" si="6">SWITCH(E54,
 "S",10,
 "A",9,
 "B",8,
 "C",7,
 "D",6,
 "E",4,
 "U",0,
 "W",0,
 "I",0,
 "Y",0,
 "N",0,
 "P",0,
 "F",0)
</f>
        <v>9</v>
      </c>
    </row>
    <row r="55">
      <c r="B55" s="11" t="s">
        <v>57</v>
      </c>
      <c r="C55" s="11" t="s">
        <v>38</v>
      </c>
      <c r="D55" s="11">
        <v>3.0</v>
      </c>
      <c r="E55" s="11" t="s">
        <v>17</v>
      </c>
      <c r="F55" s="11">
        <f t="shared" si="6"/>
        <v>9</v>
      </c>
    </row>
    <row r="56">
      <c r="B56" s="10" t="s">
        <v>58</v>
      </c>
      <c r="C56" s="10" t="s">
        <v>22</v>
      </c>
      <c r="D56" s="10">
        <v>5.0</v>
      </c>
      <c r="E56" s="10" t="s">
        <v>17</v>
      </c>
      <c r="F56" s="10">
        <f t="shared" si="6"/>
        <v>9</v>
      </c>
    </row>
    <row r="57">
      <c r="B57" s="11" t="s">
        <v>59</v>
      </c>
      <c r="C57" s="11" t="s">
        <v>40</v>
      </c>
      <c r="D57" s="11">
        <v>3.0</v>
      </c>
      <c r="E57" s="11" t="s">
        <v>17</v>
      </c>
      <c r="F57" s="11">
        <f t="shared" si="6"/>
        <v>9</v>
      </c>
    </row>
    <row r="58">
      <c r="B58" s="10" t="s">
        <v>60</v>
      </c>
      <c r="C58" s="10" t="s">
        <v>22</v>
      </c>
      <c r="D58" s="10">
        <v>5.0</v>
      </c>
      <c r="E58" s="10" t="s">
        <v>17</v>
      </c>
      <c r="F58" s="10">
        <f t="shared" si="6"/>
        <v>9</v>
      </c>
    </row>
    <row r="59">
      <c r="B59" s="14" t="s">
        <v>61</v>
      </c>
      <c r="C59" s="14" t="s">
        <v>44</v>
      </c>
      <c r="D59" s="14">
        <v>3.0</v>
      </c>
      <c r="E59" s="14" t="s">
        <v>17</v>
      </c>
      <c r="F59" s="14">
        <f t="shared" si="6"/>
        <v>9</v>
      </c>
    </row>
    <row r="61">
      <c r="E61" s="15" t="s">
        <v>8</v>
      </c>
      <c r="F61" s="16">
        <f>IFERROR(__xludf.DUMMYFUNCTION("SUM(FILTER(D54:D59, (E54:E59&lt;&gt;""Y"")*(E54:E59&lt;&gt;""N"")))
"),23.0)</f>
        <v>23</v>
      </c>
    </row>
    <row r="62">
      <c r="E62" s="15" t="s">
        <v>18</v>
      </c>
      <c r="F62" s="16">
        <f>IFERROR(__xludf.DUMMYFUNCTION("ROUND(
SUMPRODUCT(D54:D59, 
   SWITCH(E54:E59,
     ""S"",10,""A"",9,""B"",8,""C"",7,""D"",6,""E"",4,
     ""U"",0,""W"",0,""I"",0,""Y"",0,""N"",0,""P"",0,""F"",0)
) 
/ 
SUM(FILTER(D54:D59, (E54:E59&lt;&gt;""P"")*(E54:E59&lt;&gt;""F"")*(E54:E59&lt;&gt;""Y"")*(E54:E59&lt;&gt;""N"&amp;""")))
,2)"),9.0)</f>
        <v>9</v>
      </c>
    </row>
    <row r="65">
      <c r="B65" s="2" t="s">
        <v>62</v>
      </c>
    </row>
    <row r="67">
      <c r="B67" s="7" t="s">
        <v>9</v>
      </c>
      <c r="C67" s="7" t="s">
        <v>10</v>
      </c>
      <c r="D67" s="7" t="s">
        <v>11</v>
      </c>
      <c r="E67" s="7" t="s">
        <v>12</v>
      </c>
      <c r="F67" s="7" t="s">
        <v>13</v>
      </c>
    </row>
    <row r="68">
      <c r="B68" s="10" t="s">
        <v>63</v>
      </c>
      <c r="C68" s="10" t="s">
        <v>22</v>
      </c>
      <c r="D68" s="10">
        <v>4.0</v>
      </c>
      <c r="E68" s="10" t="s">
        <v>17</v>
      </c>
      <c r="F68" s="10">
        <f t="shared" ref="F68:F73" si="7">SWITCH(E68,
 "S",10,
 "A",9,
 "B",8,
 "C",7,
 "D",6,
 "E",4,
 "U",0,
 "W",0,
 "I",0,
 "Y",0,
 "N",0,
 "P",0,
 "F",0)
</f>
        <v>9</v>
      </c>
    </row>
    <row r="69">
      <c r="B69" s="11" t="s">
        <v>64</v>
      </c>
      <c r="C69" s="11" t="s">
        <v>22</v>
      </c>
      <c r="D69" s="11">
        <v>5.0</v>
      </c>
      <c r="E69" s="11" t="s">
        <v>17</v>
      </c>
      <c r="F69" s="11">
        <f t="shared" si="7"/>
        <v>9</v>
      </c>
    </row>
    <row r="70">
      <c r="B70" s="10" t="s">
        <v>65</v>
      </c>
      <c r="C70" s="10" t="s">
        <v>36</v>
      </c>
      <c r="D70" s="10">
        <v>3.0</v>
      </c>
      <c r="E70" s="10" t="s">
        <v>17</v>
      </c>
      <c r="F70" s="10">
        <f t="shared" si="7"/>
        <v>9</v>
      </c>
    </row>
    <row r="71">
      <c r="B71" s="11" t="s">
        <v>66</v>
      </c>
      <c r="C71" s="11" t="s">
        <v>38</v>
      </c>
      <c r="D71" s="11">
        <v>3.0</v>
      </c>
      <c r="E71" s="11" t="s">
        <v>17</v>
      </c>
      <c r="F71" s="11">
        <f t="shared" si="7"/>
        <v>9</v>
      </c>
    </row>
    <row r="72">
      <c r="B72" s="10" t="s">
        <v>67</v>
      </c>
      <c r="C72" s="10" t="s">
        <v>36</v>
      </c>
      <c r="D72" s="10">
        <v>0.0</v>
      </c>
      <c r="E72" s="10" t="s">
        <v>68</v>
      </c>
      <c r="F72" s="10">
        <f t="shared" si="7"/>
        <v>0</v>
      </c>
    </row>
    <row r="73">
      <c r="B73" s="14" t="s">
        <v>69</v>
      </c>
      <c r="C73" s="14" t="s">
        <v>42</v>
      </c>
      <c r="D73" s="14">
        <v>3.0</v>
      </c>
      <c r="E73" s="14" t="s">
        <v>17</v>
      </c>
      <c r="F73" s="14">
        <f t="shared" si="7"/>
        <v>9</v>
      </c>
    </row>
    <row r="75">
      <c r="E75" s="15" t="s">
        <v>8</v>
      </c>
      <c r="F75" s="16">
        <f>IFERROR(__xludf.DUMMYFUNCTION("SUM(FILTER(D68:D73,(E68:E73&lt;&gt;""Y"")*(E68:E73&lt;&gt;""N"")))
"),18.0)</f>
        <v>18</v>
      </c>
    </row>
    <row r="76">
      <c r="E76" s="15" t="s">
        <v>18</v>
      </c>
      <c r="F76" s="16">
        <f>IFERROR(__xludf.DUMMYFUNCTION("ROUND(
SUMPRODUCT(D68:D73, 
   SWITCH(E68:E73,
     ""S"",10,""A"",9,""B"",8,""C"",7,""D"",6,""E"",4,
     ""U"",0,""W"",0,""I"",0,""Y"",0,""N"",0,""P"",0,""F"",0)
) 
/ 
SUM(FILTER(D68:D73, (E68:E73&lt;&gt;""P"")*(E68:E73&lt;&gt;""F"")*(E68:E73&lt;&gt;""Y"")*(E68:E73&lt;&gt;""N"&amp;""")))
,2)"),9.0)</f>
        <v>9</v>
      </c>
    </row>
    <row r="79">
      <c r="B79" s="2" t="s">
        <v>70</v>
      </c>
    </row>
    <row r="81">
      <c r="B81" s="7" t="s">
        <v>9</v>
      </c>
      <c r="C81" s="7" t="s">
        <v>10</v>
      </c>
      <c r="D81" s="7" t="s">
        <v>11</v>
      </c>
      <c r="E81" s="7" t="s">
        <v>12</v>
      </c>
      <c r="F81" s="7" t="s">
        <v>13</v>
      </c>
    </row>
    <row r="82">
      <c r="B82" s="10" t="s">
        <v>71</v>
      </c>
      <c r="C82" s="10" t="s">
        <v>22</v>
      </c>
      <c r="D82" s="10">
        <v>5.0</v>
      </c>
      <c r="E82" s="10" t="s">
        <v>17</v>
      </c>
      <c r="F82" s="10">
        <f t="shared" ref="F82:F88" si="8">SWITCH(E82,
 "S",10,
 "A",9,
 "B",8,
 "C",7,
 "D",6,
 "E",4,
 "U",0,
 "W",0,
 "I",0,
 "Y",0,
 "N",0,
 "P",0,
 "F",0)
</f>
        <v>9</v>
      </c>
    </row>
    <row r="83">
      <c r="B83" s="11" t="s">
        <v>72</v>
      </c>
      <c r="C83" s="11" t="s">
        <v>22</v>
      </c>
      <c r="D83" s="11">
        <v>2.0</v>
      </c>
      <c r="E83" s="11" t="s">
        <v>17</v>
      </c>
      <c r="F83" s="11">
        <f t="shared" si="8"/>
        <v>9</v>
      </c>
    </row>
    <row r="84">
      <c r="B84" s="10" t="s">
        <v>73</v>
      </c>
      <c r="C84" s="10" t="s">
        <v>36</v>
      </c>
      <c r="D84" s="10">
        <v>3.0</v>
      </c>
      <c r="E84" s="10" t="s">
        <v>17</v>
      </c>
      <c r="F84" s="10">
        <f t="shared" si="8"/>
        <v>9</v>
      </c>
    </row>
    <row r="85">
      <c r="B85" s="11" t="s">
        <v>73</v>
      </c>
      <c r="C85" s="11" t="s">
        <v>36</v>
      </c>
      <c r="D85" s="11">
        <v>3.0</v>
      </c>
      <c r="E85" s="11" t="s">
        <v>17</v>
      </c>
      <c r="F85" s="11">
        <f t="shared" si="8"/>
        <v>9</v>
      </c>
    </row>
    <row r="86">
      <c r="B86" s="10" t="s">
        <v>73</v>
      </c>
      <c r="C86" s="10" t="s">
        <v>36</v>
      </c>
      <c r="D86" s="10">
        <v>3.0</v>
      </c>
      <c r="E86" s="10" t="s">
        <v>17</v>
      </c>
      <c r="F86" s="10">
        <f t="shared" si="8"/>
        <v>9</v>
      </c>
    </row>
    <row r="87">
      <c r="B87" s="11" t="s">
        <v>73</v>
      </c>
      <c r="C87" s="11" t="s">
        <v>44</v>
      </c>
      <c r="D87" s="11">
        <v>3.0</v>
      </c>
      <c r="E87" s="11" t="s">
        <v>17</v>
      </c>
      <c r="F87" s="11">
        <f t="shared" si="8"/>
        <v>9</v>
      </c>
    </row>
    <row r="88">
      <c r="A88" s="25" t="s">
        <v>74</v>
      </c>
      <c r="B88" s="23" t="s">
        <v>73</v>
      </c>
      <c r="C88" s="23" t="s">
        <v>40</v>
      </c>
      <c r="D88" s="23">
        <v>0.0</v>
      </c>
      <c r="E88" s="23" t="s">
        <v>17</v>
      </c>
      <c r="F88" s="23">
        <f t="shared" si="8"/>
        <v>9</v>
      </c>
    </row>
    <row r="90">
      <c r="E90" s="15" t="s">
        <v>8</v>
      </c>
      <c r="F90" s="16">
        <f>IFERROR(__xludf.DUMMYFUNCTION("SUM(FILTER(D82:D88, (E82:E88&lt;&gt;""Y"")*(E82:E88&lt;&gt;""N"")))
"),19.0)</f>
        <v>19</v>
      </c>
    </row>
    <row r="91">
      <c r="E91" s="15" t="s">
        <v>18</v>
      </c>
      <c r="F91" s="16">
        <f>IFERROR(__xludf.DUMMYFUNCTION("ROUND(
SUMPRODUCT(D82:D88, 
   SWITCH(E82:E88,
     ""S"",10,""A"",9,""B"",8,""C"",7,""D"",6,""E"",4,
     ""U"",0,""W"",0,""I"",0,""Y"",0,""N"",0,""P"",0,""F"",0)
) 
/ 
SUM(FILTER(D82:D88, (E82:E88&lt;&gt;""P"")*(E82:E88&lt;&gt;""F"")*(E82:E88&lt;&gt;""Y"")*(E82:E88&lt;&gt;""N"&amp;""")))
,2)"),9.0)</f>
        <v>9</v>
      </c>
    </row>
    <row r="94">
      <c r="B94" s="2" t="s">
        <v>75</v>
      </c>
    </row>
    <row r="96">
      <c r="B96" s="7" t="s">
        <v>9</v>
      </c>
      <c r="C96" s="7" t="s">
        <v>10</v>
      </c>
      <c r="D96" s="7" t="s">
        <v>11</v>
      </c>
      <c r="E96" s="7" t="s">
        <v>12</v>
      </c>
      <c r="F96" s="7" t="s">
        <v>13</v>
      </c>
    </row>
    <row r="97">
      <c r="B97" s="10" t="s">
        <v>61</v>
      </c>
      <c r="C97" s="10" t="s">
        <v>44</v>
      </c>
      <c r="D97" s="10">
        <v>3.0</v>
      </c>
      <c r="E97" s="10" t="s">
        <v>17</v>
      </c>
      <c r="F97" s="10">
        <f t="shared" ref="F97:F104" si="9">SWITCH(E97,
 "S",10,
 "A",9,
 "B",8,
 "C",7,
 "D",6,
 "E",4,
 "U",0,
 "W",0,
 "I",0,
 "Y",0,
 "N",0,
 "P",0,
 "F",0)
</f>
        <v>9</v>
      </c>
    </row>
    <row r="98">
      <c r="B98" s="11" t="s">
        <v>73</v>
      </c>
      <c r="C98" s="11" t="s">
        <v>42</v>
      </c>
      <c r="D98" s="11">
        <v>3.0</v>
      </c>
      <c r="E98" s="11" t="s">
        <v>17</v>
      </c>
      <c r="F98" s="11">
        <f t="shared" si="9"/>
        <v>9</v>
      </c>
    </row>
    <row r="99">
      <c r="B99" s="10" t="s">
        <v>73</v>
      </c>
      <c r="C99" s="10" t="s">
        <v>36</v>
      </c>
      <c r="D99" s="10">
        <v>3.0</v>
      </c>
      <c r="E99" s="10" t="s">
        <v>17</v>
      </c>
      <c r="F99" s="10">
        <f t="shared" si="9"/>
        <v>9</v>
      </c>
    </row>
    <row r="100">
      <c r="B100" s="11" t="s">
        <v>73</v>
      </c>
      <c r="C100" s="11" t="s">
        <v>36</v>
      </c>
      <c r="D100" s="11">
        <v>3.0</v>
      </c>
      <c r="E100" s="11" t="s">
        <v>17</v>
      </c>
      <c r="F100" s="11">
        <f t="shared" si="9"/>
        <v>9</v>
      </c>
    </row>
    <row r="101">
      <c r="B101" s="10" t="s">
        <v>73</v>
      </c>
      <c r="C101" s="10" t="s">
        <v>42</v>
      </c>
      <c r="D101" s="10">
        <v>3.0</v>
      </c>
      <c r="E101" s="10" t="s">
        <v>17</v>
      </c>
      <c r="F101" s="10">
        <f t="shared" si="9"/>
        <v>9</v>
      </c>
    </row>
    <row r="102">
      <c r="B102" s="26" t="s">
        <v>73</v>
      </c>
      <c r="C102" s="26" t="s">
        <v>42</v>
      </c>
      <c r="D102" s="26">
        <v>3.0</v>
      </c>
      <c r="E102" s="26" t="s">
        <v>17</v>
      </c>
      <c r="F102" s="11">
        <f t="shared" si="9"/>
        <v>9</v>
      </c>
    </row>
    <row r="103">
      <c r="A103" s="25" t="s">
        <v>74</v>
      </c>
      <c r="B103" s="27" t="s">
        <v>73</v>
      </c>
      <c r="C103" s="27" t="s">
        <v>38</v>
      </c>
      <c r="D103" s="27">
        <v>0.0</v>
      </c>
      <c r="E103" s="27" t="s">
        <v>17</v>
      </c>
      <c r="F103" s="10">
        <f t="shared" si="9"/>
        <v>9</v>
      </c>
    </row>
    <row r="104">
      <c r="A104" s="25" t="s">
        <v>74</v>
      </c>
      <c r="B104" s="28" t="s">
        <v>73</v>
      </c>
      <c r="C104" s="29" t="s">
        <v>40</v>
      </c>
      <c r="D104" s="29">
        <v>0.0</v>
      </c>
      <c r="E104" s="29" t="s">
        <v>17</v>
      </c>
      <c r="F104" s="28">
        <f t="shared" si="9"/>
        <v>9</v>
      </c>
    </row>
    <row r="106">
      <c r="E106" s="15" t="s">
        <v>8</v>
      </c>
      <c r="F106" s="16">
        <f>IFERROR(__xludf.DUMMYFUNCTION("SUM(FILTER(D97:D104, (E97:E104&lt;&gt;""Y"")*(E97:E104&lt;&gt;""N"")))
"),18.0)</f>
        <v>18</v>
      </c>
    </row>
    <row r="107">
      <c r="E107" s="15" t="s">
        <v>18</v>
      </c>
      <c r="F107" s="16">
        <f>IFERROR(__xludf.DUMMYFUNCTION("ROUND(
SUMPRODUCT(D97:D104, 
   SWITCH(E97:E104,
     ""S"",10,""A"",9,""B"",8,""C"",7,""D"",6,""E"",4,
     ""U"",0,""W"",0,""I"",0,""Y"",0,""N"",0,""P"",0,""F"",0)
) 
/ 
SUM(FILTER(D97:D104, (E97:E104&lt;&gt;""P"")*(E97:E104&lt;&gt;""F"")*(E97:E104&lt;&gt;""Y"")*(E97:E10"&amp;"4&lt;&gt;""N"")))
,2)"),9.0)</f>
        <v>9</v>
      </c>
    </row>
    <row r="110">
      <c r="B110" s="2" t="s">
        <v>76</v>
      </c>
    </row>
    <row r="112">
      <c r="B112" s="7" t="s">
        <v>9</v>
      </c>
      <c r="C112" s="7" t="s">
        <v>10</v>
      </c>
      <c r="D112" s="7" t="s">
        <v>11</v>
      </c>
      <c r="E112" s="7" t="s">
        <v>12</v>
      </c>
      <c r="F112" s="7" t="s">
        <v>13</v>
      </c>
    </row>
    <row r="113">
      <c r="A113" s="25" t="s">
        <v>74</v>
      </c>
      <c r="B113" s="10" t="s">
        <v>73</v>
      </c>
      <c r="C113" s="10" t="s">
        <v>42</v>
      </c>
      <c r="D113" s="10">
        <v>0.0</v>
      </c>
      <c r="E113" s="10" t="s">
        <v>17</v>
      </c>
      <c r="F113" s="10">
        <f t="shared" ref="F113:F119" si="10">SWITCH(E113,
 "S",10,
 "A",9,
 "B",8,
 "C",7,
 "D",6,
 "E",4,
 "U",0,
 "W",0,
 "I",0,
 "Y",0,
 "N",0,
 "P",0,
 "F",0)
</f>
        <v>9</v>
      </c>
    </row>
    <row r="114">
      <c r="A114" s="25" t="s">
        <v>74</v>
      </c>
      <c r="B114" s="11" t="s">
        <v>73</v>
      </c>
      <c r="C114" s="11" t="s">
        <v>36</v>
      </c>
      <c r="D114" s="11">
        <v>0.0</v>
      </c>
      <c r="E114" s="11" t="s">
        <v>17</v>
      </c>
      <c r="F114" s="11">
        <f t="shared" si="10"/>
        <v>9</v>
      </c>
    </row>
    <row r="115">
      <c r="B115" s="10" t="s">
        <v>73</v>
      </c>
      <c r="C115" s="10" t="s">
        <v>36</v>
      </c>
      <c r="D115" s="10">
        <v>3.0</v>
      </c>
      <c r="E115" s="10" t="s">
        <v>17</v>
      </c>
      <c r="F115" s="10">
        <f t="shared" si="10"/>
        <v>9</v>
      </c>
    </row>
    <row r="116">
      <c r="B116" s="11" t="s">
        <v>73</v>
      </c>
      <c r="C116" s="11" t="s">
        <v>36</v>
      </c>
      <c r="D116" s="11">
        <v>3.0</v>
      </c>
      <c r="E116" s="11" t="s">
        <v>17</v>
      </c>
      <c r="F116" s="11">
        <f t="shared" si="10"/>
        <v>9</v>
      </c>
    </row>
    <row r="117">
      <c r="B117" s="10" t="s">
        <v>73</v>
      </c>
      <c r="C117" s="30" t="s">
        <v>36</v>
      </c>
      <c r="D117" s="10">
        <v>3.0</v>
      </c>
      <c r="E117" s="31" t="s">
        <v>17</v>
      </c>
      <c r="F117" s="31">
        <f t="shared" si="10"/>
        <v>9</v>
      </c>
    </row>
    <row r="118">
      <c r="B118" s="11" t="s">
        <v>73</v>
      </c>
      <c r="C118" s="32" t="s">
        <v>36</v>
      </c>
      <c r="D118" s="11">
        <v>3.0</v>
      </c>
      <c r="E118" s="33" t="s">
        <v>17</v>
      </c>
      <c r="F118" s="33">
        <f t="shared" si="10"/>
        <v>9</v>
      </c>
    </row>
    <row r="119">
      <c r="B119" s="23" t="s">
        <v>73</v>
      </c>
      <c r="C119" s="23" t="s">
        <v>42</v>
      </c>
      <c r="D119" s="23">
        <v>3.0</v>
      </c>
      <c r="E119" s="23" t="s">
        <v>17</v>
      </c>
      <c r="F119" s="23">
        <f t="shared" si="10"/>
        <v>9</v>
      </c>
    </row>
    <row r="121">
      <c r="E121" s="15" t="s">
        <v>8</v>
      </c>
      <c r="F121" s="16">
        <f>IFERROR(__xludf.DUMMYFUNCTION("SUM(FILTER(D113:D120, (E113:E120&lt;&gt;""Y"")*(E113:E120&lt;&gt;""N"")))
"),15.0)</f>
        <v>15</v>
      </c>
    </row>
    <row r="122">
      <c r="E122" s="15" t="s">
        <v>18</v>
      </c>
      <c r="F122" s="16">
        <f>IFERROR(__xludf.DUMMYFUNCTION("ROUND(
SUMPRODUCT(D113:D119, 
   SWITCH(E113:E119,
     ""S"",10,""A"",9,""B"",8,""C"",7,""D"",6,""E"",4,
     ""U"",0,""W"",0,""I"",0,""Y"",0,""N"",0,""P"",0,""F"",0)
) 
/ 
SUM(FILTER(D113:D119, (E113:E119&lt;&gt;""P"")*(E113:E119&lt;&gt;""F"")*(E113:E119&lt;&gt;""Y"")*(E"&amp;"113:E119&lt;&gt;""N"")))
,2)"),9.0)</f>
        <v>9</v>
      </c>
    </row>
  </sheetData>
  <mergeCells count="19">
    <mergeCell ref="A1:G2"/>
    <mergeCell ref="H1:L2"/>
    <mergeCell ref="B5:F5"/>
    <mergeCell ref="B21:F21"/>
    <mergeCell ref="H21:I21"/>
    <mergeCell ref="H22:I22"/>
    <mergeCell ref="H23:I23"/>
    <mergeCell ref="H24:I24"/>
    <mergeCell ref="H25:I25"/>
    <mergeCell ref="H26:I26"/>
    <mergeCell ref="H27:I27"/>
    <mergeCell ref="H28:I28"/>
    <mergeCell ref="B94:F94"/>
    <mergeCell ref="B110:F110"/>
    <mergeCell ref="B37:F37"/>
    <mergeCell ref="B51:F51"/>
    <mergeCell ref="B65:F65"/>
    <mergeCell ref="B79:F79"/>
    <mergeCell ref="H18:L19"/>
  </mergeCells>
  <drawing r:id="rId1"/>
</worksheet>
</file>